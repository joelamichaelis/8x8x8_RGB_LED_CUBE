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<sst xmlns="http://schemas.openxmlformats.org/spreadsheetml/2006/main" count="58" uniqueCount="52">
  <si>
    <t xml:space="preserve">Item</t>
  </si>
  <si>
    <t xml:space="preserve">Price ($)</t>
  </si>
  <si>
    <t xml:space="preserve">Current Rating (A)</t>
  </si>
  <si>
    <t xml:space="preserve">Voltage Rating (V)</t>
  </si>
  <si>
    <t xml:space="preserve">Distributor PN</t>
  </si>
  <si>
    <t xml:space="preserve">DC Barrel Jack</t>
  </si>
  <si>
    <t xml:space="preserve">https://www.digikey.com/product-detail/en/tensility-international-corp/54-00164/839-54-00164CT-ND/10459311</t>
  </si>
  <si>
    <t xml:space="preserve">https://www.digikey.com/product-detail/en/gct/DCJ200-05-A-K1-A/2073-DCJ200-05-A-K1-ACT-ND/9859678</t>
  </si>
  <si>
    <t xml:space="preserve">DC PSU</t>
  </si>
  <si>
    <t xml:space="preserve">https://www.amazon.com/Switch-solutions-100V-240V-adapter-5-5X2-5mm/dp/B079CFPRP3</t>
  </si>
  <si>
    <t xml:space="preserve">Fuse</t>
  </si>
  <si>
    <t xml:space="preserve">C310984</t>
  </si>
  <si>
    <t xml:space="preserve">1206, 7mOhm, 8A, Medium/Regular Blow</t>
  </si>
  <si>
    <t xml:space="preserve">https://lcsc.com/product-detail/Surface-Mount-Fuses_AEM_F1206VH8000TM_AEM-F1206VH8000TM_C310984.html</t>
  </si>
  <si>
    <t xml:space="preserve">IRF9540</t>
  </si>
  <si>
    <t xml:space="preserve">TO263-2,  Pchan, 4A Minimum Max current</t>
  </si>
  <si>
    <t xml:space="preserve">https://lcsc.com/products/MOSFET_381.html</t>
  </si>
  <si>
    <t xml:space="preserve">LCD</t>
  </si>
  <si>
    <t xml:space="preserve">20x4 I2c backpack</t>
  </si>
  <si>
    <t xml:space="preserve">Banggood</t>
  </si>
  <si>
    <t xml:space="preserve">Geekcreit® IIC I2C 2004 204 20 x 4 Character LCD Display Screen Module Blue Geekcreit for Arduino - products that work with official Arduino boards</t>
  </si>
  <si>
    <t xml:space="preserve">cubeBasePCB</t>
  </si>
  <si>
    <t xml:space="preserve">JLCPCB</t>
  </si>
  <si>
    <t xml:space="preserve">Motherboard</t>
  </si>
  <si>
    <t xml:space="preserve">3d printed parts</t>
  </si>
  <si>
    <t xml:space="preserve">prusament &amp; electricity</t>
  </si>
  <si>
    <t xml:space="preserve">capatouch pcb</t>
  </si>
  <si>
    <t xml:space="preserve">DFRobot</t>
  </si>
  <si>
    <t xml:space="preserve">outrageous</t>
  </si>
  <si>
    <t xml:space="preserve">MPR121 PCB Pair</t>
  </si>
  <si>
    <t xml:space="preserve">Amazon</t>
  </si>
  <si>
    <t xml:space="preserve">25W 5V 5A</t>
  </si>
  <si>
    <t xml:space="preserve">LEDs</t>
  </si>
  <si>
    <t xml:space="preserve">Diffused Common Anode</t>
  </si>
  <si>
    <t xml:space="preserve">Chanzon 100 pcs 5mm RGB Multicolor Diffused LED Diode Lights Common Anode(Frosted Round Tricolor) 4 pin Bright Lighting Bulb Lamps Electronics Components Indicator Light Emitting Diodes</t>
  </si>
  <si>
    <t xml:space="preserve">MCU</t>
  </si>
  <si>
    <t xml:space="preserve">STM32F103C8T6 Microboard</t>
  </si>
  <si>
    <t xml:space="preserve">Aliexpress</t>
  </si>
  <si>
    <t xml:space="preserve">STM32F103C8T6 ARM STM32 Small System Development Board Module SCM Core Board</t>
  </si>
  <si>
    <t xml:space="preserve">QTY</t>
  </si>
  <si>
    <t xml:space="preserve">Total Cost</t>
  </si>
  <si>
    <t xml:space="preserve">Item Cost ($)</t>
  </si>
  <si>
    <t xml:space="preserve">Shipping ($)</t>
  </si>
  <si>
    <t xml:space="preserve">Tax ($)</t>
  </si>
  <si>
    <t xml:space="preserve">STLinkV2</t>
  </si>
  <si>
    <t xml:space="preserve">TLC5940</t>
  </si>
  <si>
    <t xml:space="preserve">STM32F103C8T6</t>
  </si>
  <si>
    <t xml:space="preserve">LCDs</t>
  </si>
  <si>
    <t xml:space="preserve">MPR121 Breakout</t>
  </si>
  <si>
    <t xml:space="preserve">M4-0.7x20mm screw</t>
  </si>
  <si>
    <t xml:space="preserve">M3-0.5x8mm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</si>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</sst>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\-mmm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0"/>
      <name val="Calibri"/>
      <family val="2"/>
      <charset val="1"/>
    </font>
    <font>
      <sz val="5"/>
      <color rgb="FF333333"/>
      <name val="Arial"/>
      <family val="2"/>
      <charset val="1"/>
    </font>
    <font>
      <sz val="7"/>
      <color rgb="FF0F11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com/product-detail/en/tensility-international-corp/54-00164/839-54-00164CT-ND/10459311" TargetMode="External"/><Relationship Id="rId2" Type="http://schemas.openxmlformats.org/officeDocument/2006/relationships/hyperlink" Target="https://www.digikey.com/product-detail/en/gct/DCJ200-05-A-K1-A/2073-DCJ200-05-A-K1-ACT-ND/9859678" TargetMode="External"/><Relationship Id="rId3" Type="http://schemas.openxmlformats.org/officeDocument/2006/relationships/hyperlink" Target="https://www.amazon.com/Switch-solutions-100V-240V-adapter-5-5X2-5mm/dp/B079CFPRP3" TargetMode="External"/><Relationship Id="rId4" Type="http://schemas.openxmlformats.org/officeDocument/2006/relationships/hyperlink" Target="https://lcsc.com/product-detail/Surface-Mount-Fuses_AEM_F1206VH8000TM_AEM-F1206VH8000TM_C310984.html" TargetMode="External"/><Relationship Id="rId5" Type="http://schemas.openxmlformats.org/officeDocument/2006/relationships/hyperlink" Target="https://lcsc.com/products/MOSFET_38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25"/>
  <sheetViews>
    <sheetView showFormulas="false" showGridLines="true" showRowColHeaders="true" showZeros="true" rightToLeft="false" tabSelected="false" showOutlineSymbols="true" defaultGridColor="true" view="normal" topLeftCell="A11" colorId="64" zoomScale="115" zoomScaleNormal="115" zoomScalePageLayoutView="100" workbookViewId="0">
      <selection pane="topLeft" activeCell="C33" activeCellId="0" sqref="C3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0" width="14.47"/>
    <col collapsed="false" customWidth="true" hidden="false" outlineLevel="0" max="3" min="3" style="0" width="24.06"/>
    <col collapsed="false" customWidth="true" hidden="false" outlineLevel="0" max="5" min="5" style="0" width="19.32"/>
    <col collapsed="false" customWidth="true" hidden="false" outlineLevel="0" max="6" min="6" style="0" width="16.52"/>
    <col collapsed="false" customWidth="true" hidden="false" outlineLevel="0" max="7" min="7" style="0" width="16.47"/>
    <col collapsed="false" customWidth="true" hidden="false" outlineLevel="0" max="9" min="9" style="0" width="13.1"/>
  </cols>
  <sheetData>
    <row r="2" customFormat="false" ht="14.25" hidden="false" customHeight="false" outlineLevel="0" collapsed="false">
      <c r="B2" s="0" t="s">
        <v>0</v>
      </c>
      <c r="D2" s="0" t="s">
        <v>1</v>
      </c>
      <c r="F2" s="0" t="s">
        <v>2</v>
      </c>
      <c r="G2" s="0" t="s">
        <v>3</v>
      </c>
      <c r="I2" s="0" t="s">
        <v>4</v>
      </c>
    </row>
    <row r="4" customFormat="false" ht="14.25" hidden="false" customHeight="false" outlineLevel="0" collapsed="false">
      <c r="B4" s="0" t="s">
        <v>5</v>
      </c>
      <c r="D4" s="0" t="n">
        <v>0.75</v>
      </c>
      <c r="F4" s="0" t="n">
        <v>5.5</v>
      </c>
      <c r="G4" s="0" t="n">
        <v>48</v>
      </c>
      <c r="P4" s="1" t="s">
        <v>6</v>
      </c>
    </row>
    <row r="5" customFormat="false" ht="14.25" hidden="false" customHeight="false" outlineLevel="0" collapsed="false">
      <c r="B5" s="0" t="s">
        <v>5</v>
      </c>
      <c r="D5" s="0" t="n">
        <v>1.05</v>
      </c>
      <c r="F5" s="0" t="n">
        <v>5</v>
      </c>
      <c r="G5" s="0" t="n">
        <v>20</v>
      </c>
      <c r="P5" s="1" t="s">
        <v>7</v>
      </c>
    </row>
    <row r="7" customFormat="false" ht="14.25" hidden="false" customHeight="false" outlineLevel="0" collapsed="false">
      <c r="B7" s="0" t="s">
        <v>8</v>
      </c>
      <c r="F7" s="0" t="n">
        <v>6</v>
      </c>
      <c r="G7" s="0" t="n">
        <v>6</v>
      </c>
      <c r="P7" s="1" t="s">
        <v>9</v>
      </c>
    </row>
    <row r="9" customFormat="false" ht="14.25" hidden="false" customHeight="false" outlineLevel="0" collapsed="false">
      <c r="B9" s="0" t="s">
        <v>10</v>
      </c>
      <c r="I9" s="0" t="s">
        <v>11</v>
      </c>
      <c r="K9" s="0" t="s">
        <v>12</v>
      </c>
      <c r="P9" s="1" t="s">
        <v>13</v>
      </c>
    </row>
    <row r="13" customFormat="false" ht="14.25" hidden="false" customHeight="false" outlineLevel="0" collapsed="false">
      <c r="B13" s="0" t="s">
        <v>14</v>
      </c>
      <c r="K13" s="0" t="s">
        <v>15</v>
      </c>
      <c r="P13" s="1" t="s">
        <v>16</v>
      </c>
    </row>
    <row r="16" s="2" customFormat="true" ht="14.25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 customFormat="false" ht="14.25" hidden="false" customHeight="false" outlineLevel="0" collapsed="false">
      <c r="B17" s="0" t="s">
        <v>17</v>
      </c>
      <c r="C17" s="0" t="s">
        <v>18</v>
      </c>
      <c r="D17" s="0" t="n">
        <v>3.99</v>
      </c>
      <c r="E17" s="0" t="s">
        <v>19</v>
      </c>
      <c r="F17" s="3" t="s">
        <v>20</v>
      </c>
    </row>
    <row r="18" customFormat="false" ht="14.25" hidden="false" customHeight="false" outlineLevel="0" collapsed="false">
      <c r="B18" s="0" t="s">
        <v>21</v>
      </c>
      <c r="D18" s="4" t="n">
        <v>4</v>
      </c>
      <c r="E18" s="0" t="s">
        <v>22</v>
      </c>
    </row>
    <row r="19" customFormat="false" ht="14.25" hidden="false" customHeight="false" outlineLevel="0" collapsed="false">
      <c r="B19" s="0" t="s">
        <v>23</v>
      </c>
      <c r="D19" s="4" t="n">
        <v>5</v>
      </c>
      <c r="E19" s="0" t="s">
        <v>22</v>
      </c>
    </row>
    <row r="20" customFormat="false" ht="14.25" hidden="false" customHeight="false" outlineLevel="0" collapsed="false">
      <c r="B20" s="0" t="s">
        <v>24</v>
      </c>
      <c r="D20" s="4" t="n">
        <v>7</v>
      </c>
      <c r="E20" s="0" t="s">
        <v>25</v>
      </c>
    </row>
    <row r="21" customFormat="false" ht="14.25" hidden="false" customHeight="false" outlineLevel="0" collapsed="false">
      <c r="B21" s="0" t="s">
        <v>26</v>
      </c>
      <c r="D21" s="4" t="n">
        <v>20</v>
      </c>
      <c r="E21" s="0" t="s">
        <v>27</v>
      </c>
      <c r="F21" s="0" t="s">
        <v>28</v>
      </c>
    </row>
    <row r="22" customFormat="false" ht="14.25" hidden="false" customHeight="false" outlineLevel="0" collapsed="false">
      <c r="B22" s="0" t="s">
        <v>29</v>
      </c>
      <c r="D22" s="4" t="n">
        <v>6.99</v>
      </c>
      <c r="E22" s="0" t="s">
        <v>30</v>
      </c>
    </row>
    <row r="23" customFormat="false" ht="14.25" hidden="false" customHeight="false" outlineLevel="0" collapsed="false">
      <c r="B23" s="0" t="s">
        <v>8</v>
      </c>
      <c r="C23" s="0" t="s">
        <v>31</v>
      </c>
      <c r="D23" s="4" t="n">
        <v>14.99</v>
      </c>
      <c r="E23" s="0" t="s">
        <v>30</v>
      </c>
    </row>
    <row r="24" customFormat="false" ht="14.25" hidden="false" customHeight="false" outlineLevel="0" collapsed="false">
      <c r="A24" s="2"/>
      <c r="B24" s="2" t="s">
        <v>32</v>
      </c>
      <c r="C24" s="2" t="s">
        <v>33</v>
      </c>
      <c r="D24" s="5" t="n">
        <v>51.54</v>
      </c>
      <c r="E24" s="2" t="s">
        <v>30</v>
      </c>
      <c r="F24" s="6" t="s">
        <v>34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7.15" hidden="false" customHeight="false" outlineLevel="0" collapsed="false">
      <c r="B25" s="2" t="s">
        <v>35</v>
      </c>
      <c r="C25" s="0" t="s">
        <v>36</v>
      </c>
      <c r="D25" s="5" t="n">
        <v>2.29</v>
      </c>
      <c r="E25" s="2" t="s">
        <v>37</v>
      </c>
      <c r="F25" s="7" t="s">
        <v>38</v>
      </c>
    </row>
  </sheetData>
  <hyperlinks>
    <hyperlink ref="P4" r:id="rId1" display="https://www.digikey.com/product-detail/en/tensility-international-corp/54-00164/839-54-00164CT-ND/10459311"/>
    <hyperlink ref="P5" r:id="rId2" display="https://www.digikey.com/product-detail/en/gct/DCJ200-05-A-K1-A/2073-DCJ200-05-A-K1-ACT-ND/9859678"/>
    <hyperlink ref="P7" r:id="rId3" display="https://www.amazon.com/Switch-solutions-100V-240V-adapter-5-5X2-5mm/dp/B079CFPRP3"/>
    <hyperlink ref="P9" r:id="rId4" display="https://lcsc.com/product-detail/Surface-Mount-Fuses_AEM_F1206VH8000TM_AEM-F1206VH8000TM_C310984.html"/>
    <hyperlink ref="P13" r:id="rId5" display="https://lcsc.com/products/MOSFET_381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7.52"/>
    <col collapsed="false" customWidth="true" hidden="false" outlineLevel="0" max="4" min="4" style="0" width="10.79"/>
    <col collapsed="false" customWidth="true" hidden="false" outlineLevel="0" max="5" min="5" style="0" width="13.84"/>
    <col collapsed="false" customWidth="true" hidden="false" outlineLevel="0" max="8" min="8" style="0" width="20"/>
    <col collapsed="false" customWidth="true" hidden="false" outlineLevel="0" max="16384" min="16383" style="0" width="11.53"/>
  </cols>
  <sheetData>
    <row r="1" customFormat="false" ht="14.25" hidden="false" customHeight="false" outlineLevel="0" collapsed="false">
      <c r="A1" s="0" t="s">
        <v>0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</row>
    <row r="3" customFormat="false" ht="14.25" hidden="false" customHeight="false" outlineLevel="0" collapsed="false">
      <c r="A3" s="0" t="s">
        <v>44</v>
      </c>
      <c r="B3" s="0" t="n">
        <v>10</v>
      </c>
      <c r="C3" s="0" t="n">
        <f aca="false">SUM(D3:F3)</f>
        <v>33.69</v>
      </c>
      <c r="D3" s="4" t="n">
        <v>23.5</v>
      </c>
      <c r="E3" s="0" t="n">
        <v>7.88</v>
      </c>
      <c r="F3" s="0" t="n">
        <v>2.31</v>
      </c>
    </row>
    <row r="4" customFormat="false" ht="14.25" hidden="false" customHeight="false" outlineLevel="0" collapsed="false">
      <c r="A4" s="0" t="s">
        <v>45</v>
      </c>
      <c r="B4" s="0" t="n">
        <v>60</v>
      </c>
      <c r="C4" s="0" t="n">
        <f aca="false">SUM(D4:F4)</f>
        <v>63.57</v>
      </c>
      <c r="D4" s="0" t="n">
        <v>55.2</v>
      </c>
      <c r="E4" s="4" t="n">
        <v>4</v>
      </c>
      <c r="F4" s="0" t="n">
        <v>4.37</v>
      </c>
    </row>
    <row r="5" customFormat="false" ht="14.25" hidden="false" customHeight="false" outlineLevel="0" collapsed="false">
      <c r="A5" s="0" t="s">
        <v>46</v>
      </c>
      <c r="B5" s="0" t="n">
        <v>10</v>
      </c>
      <c r="C5" s="0" t="n">
        <f aca="false">SUM(D5:F5)</f>
        <v>28.99</v>
      </c>
      <c r="D5" s="0" t="n">
        <v>14.5</v>
      </c>
      <c r="E5" s="0" t="n">
        <v>12.5</v>
      </c>
      <c r="F5" s="0" t="n">
        <v>1.99</v>
      </c>
    </row>
    <row r="6" customFormat="false" ht="14.25" hidden="false" customHeight="false" outlineLevel="0" collapsed="false">
      <c r="A6" s="0" t="s">
        <v>47</v>
      </c>
      <c r="B6" s="0" t="n">
        <v>10</v>
      </c>
      <c r="C6" s="0" t="n">
        <f aca="false">SUM(D6:F6)</f>
        <v>48.64</v>
      </c>
      <c r="D6" s="0" t="n">
        <f aca="false">45-2.7</f>
        <v>42.3</v>
      </c>
      <c r="E6" s="0" t="n">
        <v>3</v>
      </c>
      <c r="F6" s="0" t="n">
        <v>3.34</v>
      </c>
    </row>
    <row r="7" customFormat="false" ht="14.25" hidden="false" customHeight="false" outlineLevel="0" collapsed="false">
      <c r="A7" s="0" t="s">
        <v>48</v>
      </c>
      <c r="B7" s="0" t="n">
        <v>20</v>
      </c>
      <c r="C7" s="0" t="n">
        <f aca="false">SUM(D7:F7)</f>
        <v>30.87</v>
      </c>
      <c r="D7" s="0" t="n">
        <f aca="false">27.8-1.8</f>
        <v>26</v>
      </c>
      <c r="E7" s="0" t="n">
        <v>2.75</v>
      </c>
      <c r="F7" s="0" t="n">
        <v>2.12</v>
      </c>
    </row>
    <row r="8" customFormat="false" ht="14.25" hidden="false" customHeight="false" outlineLevel="0" collapsed="false">
      <c r="A8" s="0" t="s">
        <v>49</v>
      </c>
      <c r="B8" s="0" t="n">
        <v>100</v>
      </c>
      <c r="C8" s="0" t="n">
        <f aca="false">SUM(D8:F8)</f>
        <v>15.02</v>
      </c>
      <c r="D8" s="0" t="n">
        <v>13.99</v>
      </c>
      <c r="E8" s="0" t="n">
        <v>0</v>
      </c>
      <c r="F8" s="0" t="n">
        <v>1.03</v>
      </c>
      <c r="H8" s="8"/>
    </row>
    <row r="9" customFormat="false" ht="14.25" hidden="false" customHeight="false" outlineLevel="0" collapsed="false">
      <c r="A9" s="0" t="s">
        <v>50</v>
      </c>
      <c r="B9" s="0" t="n">
        <v>100</v>
      </c>
      <c r="C9" s="0" t="n">
        <f aca="false">SUM(D9:F9)</f>
        <v>7.41</v>
      </c>
      <c r="D9" s="0" t="n">
        <v>6.9</v>
      </c>
      <c r="E9" s="0" t="n">
        <v>0</v>
      </c>
      <c r="F9" s="0" t="n">
        <v>0.51</v>
      </c>
      <c r="H9" s="8"/>
    </row>
    <row r="11" customFormat="false" ht="14.25" hidden="false" customHeight="false" outlineLevel="0" collapsed="false">
      <c r="A11" s="0" t="s">
        <v>51</v>
      </c>
      <c r="C11" s="0" t="n">
        <f aca="false">SUM(C2:C9)</f>
        <v>228.19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0C72CC6534749BF16351D2EC4EAF3" ma:contentTypeVersion="13" ma:contentTypeDescription="Create a new document." ma:contentTypeScope="" ma:versionID="9149f609a6a4f3965dfcd54859de80f8">
  <xsd:schema xmlns:xsd="http://www.w3.org/2001/XMLSchema" xmlns:xs="http://www.w3.org/2001/XMLSchema" xmlns:p="http://schemas.microsoft.com/office/2006/metadata/properties" xmlns:ns3="4ed91f94-d690-4a20-9568-49b21f558026" xmlns:ns4="f5e7adac-8bba-4244-8d65-5d554a991062" targetNamespace="http://schemas.microsoft.com/office/2006/metadata/properties" ma:root="true" ma:fieldsID="47070c801bf6c35801f58455eb88a2c1" ns3:_="" ns4:_="">
    <xsd:import namespace="4ed91f94-d690-4a20-9568-49b21f558026"/>
    <xsd:import namespace="f5e7adac-8bba-4244-8d65-5d554a99106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91f94-d690-4a20-9568-49b21f5580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7adac-8bba-4244-8d65-5d554a9910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9F8F4F-C5C0-4857-B329-55555316C7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A70C89-5C0A-4F67-8841-EC9C9F7275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9BF6B9C-0D84-40BF-8583-57D64B8ABC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91f94-d690-4a20-9568-49b21f558026"/>
    <ds:schemaRef ds:uri="f5e7adac-8bba-4244-8d65-5d554a9910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2020-04-27T13:12:38Z</dcterms:created>
  <dc:creator/>
  <dc:description/>
  <dc:language>en-US</dc:language>
  <cp:lastModifiedBy/>
  <dcterms:modified xsi:type="dcterms:W3CDTF">2026-10-26T21:23:54Z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0x010100C420C72CC6534749BF16351D2EC4EAF3</vt:lpwstr>
  </property>
</Properties>
</file>